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dvertiser Pays (+30%)" sheetId="2" r:id="rId6"/>
    <sheet state="visible" name="Video Formats (movie)" sheetId="3" r:id="rId7"/>
    <sheet state="visible" name="Owner Earnings (100%)" sheetId="4" r:id="rId8"/>
  </sheets>
  <definedNames/>
  <calcPr/>
</workbook>
</file>

<file path=xl/sharedStrings.xml><?xml version="1.0" encoding="utf-8"?>
<sst xmlns="http://schemas.openxmlformats.org/spreadsheetml/2006/main" count="146" uniqueCount="113">
  <si>
    <t>YEPPER — AD SPACE PRICING (NEW MODEL)</t>
  </si>
  <si>
    <t>WHAT THE WEB OWNER RECEIVES — FULL, PER MONTH (RWF)</t>
  </si>
  <si>
    <t>WHAT THE ADVERTISER PAYS — PRICE + 30% MARGIN (RWF)</t>
  </si>
  <si>
    <t>MOVIE-SITE VIDEO AD FORMATS (RWF) — RECOMMENDED</t>
  </si>
  <si>
    <t>Web owners keep 100%. Yepper's margin is added ON TOP of what advertisers pay.</t>
  </si>
  <si>
    <t>Each amount = the owner price x 1.30. The extra 30% is Yepper's margin; the owner still receives the full price shown on the previous sheet.</t>
  </si>
  <si>
    <t>Owner keeps 100% (blue = recommended inputs, change freely). Advertiser columns = owner × 1.30. Only Standard/Premium/Elite shown — the tiers movie sites realistically reach.</t>
  </si>
  <si>
    <t>Ad Space</t>
  </si>
  <si>
    <t>HOW THE NEW MODEL WORKS</t>
  </si>
  <si>
    <t>Owner keeps 100% of these amounts. Per ad space, per advertiser. Multiple advertisers can share a space in rotation.</t>
  </si>
  <si>
    <t>Description</t>
  </si>
  <si>
    <t>Video Format</t>
  </si>
  <si>
    <t>Visibility</t>
  </si>
  <si>
    <t>Unverified
30-day, 63K total</t>
  </si>
  <si>
    <t>1. The listed price is the OWNER'S money</t>
  </si>
  <si>
    <t>Starter
500–2K/mo
20K total</t>
  </si>
  <si>
    <t>Basic
2K–10K/mo
100K total</t>
  </si>
  <si>
    <t>Standard
10K–50K/mo
210K total</t>
  </si>
  <si>
    <t>Premium
50K–200K/mo
575K total</t>
  </si>
  <si>
    <t>When it shows</t>
  </si>
  <si>
    <t>Unverified</t>
  </si>
  <si>
    <t>Elite
200K+/mo
1.5M total</t>
  </si>
  <si>
    <t>Basis</t>
  </si>
  <si>
    <t>Starter</t>
  </si>
  <si>
    <t>Owner: Standard</t>
  </si>
  <si>
    <t>Basic</t>
  </si>
  <si>
    <t>Header</t>
  </si>
  <si>
    <t>Standard</t>
  </si>
  <si>
    <t>Owner: Premium</t>
  </si>
  <si>
    <t>Premium</t>
  </si>
  <si>
    <t>Owner: Elite</t>
  </si>
  <si>
    <t>Elite</t>
  </si>
  <si>
    <t>Adv +30%: Standard</t>
  </si>
  <si>
    <t>Adv +30%: Premium</t>
  </si>
  <si>
    <t>Adv +30%: Elite</t>
  </si>
  <si>
    <t>Pre-roll</t>
  </si>
  <si>
    <t>Every price in this workbook is what the web owner receives in full. Yepper does not deduct anything from it.</t>
  </si>
  <si>
    <t>Banner ad space in the header section of the website</t>
  </si>
  <si>
    <t>Highest — top of every page</t>
  </si>
  <si>
    <t>Before the film starts (15–30s)</t>
  </si>
  <si>
    <t>Header × 1.25</t>
  </si>
  <si>
    <t>2. Advertiser pays the price + 30%</t>
  </si>
  <si>
    <t>The system adds a 30% margin on top. Example: a 82,000 space → advertiser pays 106,600. The owner still receives the full 82,000; Yepper earns the 24,600 added on top.</t>
  </si>
  <si>
    <t>3. Owner always receives 100%</t>
  </si>
  <si>
    <t>Unlike the old commission model (owner kept 70%), the owner now keeps the entire listed price. The margin is the advertiser's, not the owner's.</t>
  </si>
  <si>
    <t>4. Margin can fall for top performers</t>
  </si>
  <si>
    <t>Yepper's added margin starts at 30%. For high-performing sites it can drop to 25% / 20% / 15%, making their spaces cheaper for advertisers — the owner still keeps 100% either way.</t>
  </si>
  <si>
    <t>5. Multiple advertisers per space</t>
  </si>
  <si>
    <t>One space can be booked by several advertisers in rotation. Each pays the price + margin; the owner collects the full price from each.</t>
  </si>
  <si>
    <t>6. Tiers by verified traffic</t>
  </si>
  <si>
    <t>Standard 10K–50K, Premium 50K–200K, Elite 200K+ monthly visitors (via Google Search Console). Smaller verified tiers: Starter, Basic. Unverified = 30-day, capped.</t>
  </si>
  <si>
    <t>MARGIN ADDED ON TOP (was commission)</t>
  </si>
  <si>
    <t>Stage</t>
  </si>
  <si>
    <t>Margin added on top → advertiser pays</t>
  </si>
  <si>
    <t>Starting (day one)</t>
  </si>
  <si>
    <t>+30%   (owner keeps 100%)</t>
  </si>
  <si>
    <t>Good (6+ months active)</t>
  </si>
  <si>
    <t>+25%   (owner keeps 100%)</t>
  </si>
  <si>
    <t>Excellent (high CTR)</t>
  </si>
  <si>
    <t>Above the Fold</t>
  </si>
  <si>
    <t>+20%   (owner keeps 100%)</t>
  </si>
  <si>
    <t>Mid-roll</t>
  </si>
  <si>
    <t>Top performer</t>
  </si>
  <si>
    <t>+15%   (owner keeps 100%)</t>
  </si>
  <si>
    <t>Very high — before scroll</t>
  </si>
  <si>
    <t>Inside the film, ~2× (unskippable)</t>
  </si>
  <si>
    <t>Header × 1.5</t>
  </si>
  <si>
    <t>Pause ad</t>
  </si>
  <si>
    <t>When the viewer pauses</t>
  </si>
  <si>
    <t>Header × 0.55</t>
  </si>
  <si>
    <t>Sticky Sidebar</t>
  </si>
  <si>
    <t>High — follows scroll</t>
  </si>
  <si>
    <t>Movie sponsorship</t>
  </si>
  <si>
    <t>Mobile Interstitial</t>
  </si>
  <si>
    <t>High — full screen mobile</t>
  </si>
  <si>
    <t>Whole film / series (premium)</t>
  </si>
  <si>
    <t>Header × 4 (per film)</t>
  </si>
  <si>
    <t>Prime visibility area at the top of webpage before scrolling</t>
  </si>
  <si>
    <t>Overlay</t>
  </si>
  <si>
    <t>High — covers content</t>
  </si>
  <si>
    <t>Floating</t>
  </si>
  <si>
    <t>Medium-high — follows user</t>
  </si>
  <si>
    <t>Sponsorship is priced per film. A multi-film series is sold as a package (per-film × number of films, usually with a discount).</t>
  </si>
  <si>
    <t>Modal</t>
  </si>
  <si>
    <t>Medium-high — interrupts</t>
  </si>
  <si>
    <t>Left Rail</t>
  </si>
  <si>
    <t>Medium — standard sidebar</t>
  </si>
  <si>
    <t>Right Rail</t>
  </si>
  <si>
    <t>Sidebar</t>
  </si>
  <si>
    <t>Medium — common placement</t>
  </si>
  <si>
    <t>In Feed (Native)</t>
  </si>
  <si>
    <t>Medium — native, in body</t>
  </si>
  <si>
    <t>Sidebar ad that stays visible as user scrolls</t>
  </si>
  <si>
    <t>Inline Content</t>
  </si>
  <si>
    <t>Medium — mid-article</t>
  </si>
  <si>
    <t>Beneath Title</t>
  </si>
  <si>
    <t>Low-medium — below headline</t>
  </si>
  <si>
    <t>Pro Footer</t>
  </si>
  <si>
    <t>Low — branded footer</t>
  </si>
  <si>
    <t>Bottom</t>
  </si>
  <si>
    <t>Full-screen mobile ads that appear between content</t>
  </si>
  <si>
    <t>Lowest — end of page</t>
  </si>
  <si>
    <t>Ad that overlays on top of page content</t>
  </si>
  <si>
    <t>Ads that float over page content, follows user scrolling</t>
  </si>
  <si>
    <t>Pop-up ad that appears in a modal window</t>
  </si>
  <si>
    <t>Ad space along the left side of the webpage</t>
  </si>
  <si>
    <t>Ad space along the right side of the webpage</t>
  </si>
  <si>
    <t>Ad placement in the website sidebar</t>
  </si>
  <si>
    <t>Native ad placement within content feeds</t>
  </si>
  <si>
    <t>Ad placement directly within article text</t>
  </si>
  <si>
    <t>Ad space directly below the page title</t>
  </si>
  <si>
    <t>Premium ad space in the footer section</t>
  </si>
  <si>
    <t>Ad placement at the bottom of the webpage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</si>
</sst>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5.0"/>
      <color rgb="FF0B1B2B"/>
      <name val="Arial"/>
    </font>
    <font>
      <sz val="11.0"/>
      <color theme="1"/>
      <name val="Calibri"/>
    </font>
    <font>
      <sz val="10.0"/>
      <color rgb="FF54677C"/>
      <name val="Arial"/>
    </font>
    <font>
      <b/>
      <sz val="10.0"/>
      <color rgb="FFFFFFFF"/>
      <name val="Arial"/>
    </font>
    <font>
      <b/>
      <sz val="10.0"/>
      <color rgb="FFFF0000"/>
      <name val="Arial"/>
    </font>
    <font/>
    <font>
      <b/>
      <sz val="10.0"/>
      <color rgb="FF0B1B2B"/>
      <name val="Arial"/>
    </font>
    <font>
      <sz val="10.0"/>
      <color rgb="FF0B1B2B"/>
      <name val="Arial"/>
    </font>
    <font>
      <sz val="10.0"/>
      <color rgb="FF0000FF"/>
      <name val="Arial"/>
    </font>
    <font>
      <b/>
      <sz val="12.0"/>
      <color rgb="FF0B1B2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6A1A"/>
        <bgColor rgb="FFFF6A1A"/>
      </patternFill>
    </fill>
    <fill>
      <patternFill patternType="solid">
        <fgColor rgb="FFF5F8FC"/>
        <bgColor rgb="FFF5F8F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0" fontId="9" numFmtId="3" xfId="0" applyAlignment="1" applyBorder="1" applyFont="1" applyNumberFormat="1">
      <alignment horizontal="center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4" fillId="0" fontId="8" numFmtId="3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1" fillId="4" fontId="8" numFmtId="3" xfId="0" applyAlignment="1" applyBorder="1" applyFont="1" applyNumberFormat="1">
      <alignment horizontal="center" shrinkToFit="0" vertical="center" wrapText="1"/>
    </xf>
    <xf borderId="4" fillId="3" fontId="9" numFmtId="3" xfId="0" applyAlignment="1" applyBorder="1" applyFont="1" applyNumberFormat="1">
      <alignment horizontal="center" shrinkToFit="0" vertical="center" wrapText="1"/>
    </xf>
    <xf borderId="4" fillId="3" fontId="8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92.0"/>
    <col customWidth="1" min="3" max="26" width="8.71"/>
  </cols>
  <sheetData>
    <row r="1" ht="18.0" customHeight="1">
      <c r="A1" s="1" t="s">
        <v>0</v>
      </c>
    </row>
    <row r="2" ht="15.0" customHeight="1">
      <c r="A2" s="3" t="s">
        <v>4</v>
      </c>
    </row>
    <row r="3">
      <c r="A3" s="2"/>
      <c r="B3" s="2"/>
    </row>
    <row r="4" ht="35.25" customHeight="1">
      <c r="A4" s="5" t="s">
        <v>8</v>
      </c>
      <c r="B4" s="7"/>
    </row>
    <row r="5" ht="23.25" customHeight="1">
      <c r="A5" s="9" t="s">
        <v>14</v>
      </c>
      <c r="B5" s="12" t="s">
        <v>36</v>
      </c>
    </row>
    <row r="6" ht="33.0" customHeight="1">
      <c r="A6" s="9" t="s">
        <v>41</v>
      </c>
      <c r="B6" s="12" t="s">
        <v>42</v>
      </c>
    </row>
    <row r="7" ht="38.25" customHeight="1">
      <c r="A7" s="9" t="s">
        <v>43</v>
      </c>
      <c r="B7" s="12" t="s">
        <v>44</v>
      </c>
    </row>
    <row r="8" ht="37.5" customHeight="1">
      <c r="A8" s="9" t="s">
        <v>45</v>
      </c>
      <c r="B8" s="12" t="s">
        <v>46</v>
      </c>
    </row>
    <row r="9" ht="36.0" customHeight="1">
      <c r="A9" s="9" t="s">
        <v>47</v>
      </c>
      <c r="B9" s="12" t="s">
        <v>48</v>
      </c>
    </row>
    <row r="10" ht="42.0" customHeight="1">
      <c r="A10" s="9" t="s">
        <v>49</v>
      </c>
      <c r="B10" s="12" t="s">
        <v>50</v>
      </c>
    </row>
    <row r="11" ht="39.75" customHeight="1">
      <c r="A11" s="5" t="s">
        <v>51</v>
      </c>
      <c r="B11" s="7"/>
    </row>
    <row r="12" ht="24.75" customHeight="1">
      <c r="A12" s="16" t="s">
        <v>52</v>
      </c>
      <c r="B12" s="9" t="s">
        <v>53</v>
      </c>
    </row>
    <row r="13" ht="15.0" customHeight="1">
      <c r="A13" s="9" t="s">
        <v>54</v>
      </c>
      <c r="B13" s="12" t="s">
        <v>55</v>
      </c>
    </row>
    <row r="14" ht="15.0" customHeight="1">
      <c r="A14" s="9" t="s">
        <v>56</v>
      </c>
      <c r="B14" s="12" t="s">
        <v>57</v>
      </c>
    </row>
    <row r="15" ht="15.0" customHeight="1">
      <c r="A15" s="9" t="s">
        <v>58</v>
      </c>
      <c r="B15" s="12" t="s">
        <v>60</v>
      </c>
    </row>
    <row r="16" ht="15.0" customHeight="1">
      <c r="A16" s="9" t="s">
        <v>62</v>
      </c>
      <c r="B16" s="12" t="s">
        <v>63</v>
      </c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mergeCells count="4">
    <mergeCell ref="A1:B1"/>
    <mergeCell ref="A2:B2"/>
    <mergeCell ref="A4:B4"/>
    <mergeCell ref="A11:B11"/>
  </mergeCells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86"/>
    <col customWidth="1" min="3" max="3" width="26.0"/>
    <col customWidth="1" min="4" max="4" width="16.43"/>
    <col customWidth="1" min="5" max="5" width="12.0"/>
    <col customWidth="1" min="6" max="6" width="15.0"/>
    <col customWidth="1" min="7" max="7" width="15.14"/>
    <col customWidth="1" min="8" max="8" width="16.0"/>
    <col customWidth="1" min="9" max="9" width="19.14"/>
    <col customWidth="1" min="10" max="27" width="8.71"/>
  </cols>
  <sheetData>
    <row r="1" ht="18.0" customHeight="1">
      <c r="A1" s="1" t="s">
        <v>2</v>
      </c>
    </row>
    <row r="2" ht="15.0" customHeight="1">
      <c r="A2" s="3" t="s">
        <v>5</v>
      </c>
    </row>
    <row r="3">
      <c r="A3" s="2"/>
      <c r="B3" s="2"/>
      <c r="C3" s="2"/>
      <c r="D3" s="2"/>
      <c r="E3" s="2"/>
      <c r="F3" s="2"/>
      <c r="G3" s="2"/>
      <c r="H3" s="2"/>
      <c r="I3" s="2"/>
    </row>
    <row r="4" ht="39.0" customHeight="1">
      <c r="A4" s="4" t="s">
        <v>7</v>
      </c>
      <c r="B4" s="6" t="s">
        <v>10</v>
      </c>
      <c r="C4" s="4" t="s">
        <v>12</v>
      </c>
      <c r="D4" s="6" t="s">
        <v>13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21</v>
      </c>
    </row>
    <row r="5" ht="35.25" customHeight="1">
      <c r="A5" s="10" t="s">
        <v>26</v>
      </c>
      <c r="B5" s="14" t="s">
        <v>37</v>
      </c>
      <c r="C5" s="10" t="s">
        <v>38</v>
      </c>
      <c r="D5" s="18">
        <f>'Owner Earnings (100%)'!C5*1.3</f>
        <v>11700</v>
      </c>
      <c r="E5" s="18">
        <f>'Owner Earnings (100%)'!D5*1.3</f>
        <v>3900</v>
      </c>
      <c r="F5" s="18">
        <f>'Owner Earnings (100%)'!E5*1.3</f>
        <v>19500</v>
      </c>
      <c r="G5" s="18">
        <f>'Owner Earnings (100%)'!F5*1.3</f>
        <v>39000</v>
      </c>
      <c r="H5" s="18">
        <f>'Owner Earnings (100%)'!G5*1.3</f>
        <v>106600</v>
      </c>
      <c r="I5" s="18">
        <f>'Owner Earnings (100%)'!H5*1.3</f>
        <v>286000</v>
      </c>
    </row>
    <row r="6" ht="32.25" customHeight="1">
      <c r="A6" s="10" t="s">
        <v>59</v>
      </c>
      <c r="B6" s="14" t="s">
        <v>77</v>
      </c>
      <c r="C6" s="10" t="s">
        <v>64</v>
      </c>
      <c r="D6" s="18">
        <f>'Owner Earnings (100%)'!C6*1.3</f>
        <v>10140</v>
      </c>
      <c r="E6" s="18">
        <f>'Owner Earnings (100%)'!D6*1.3</f>
        <v>3380</v>
      </c>
      <c r="F6" s="18">
        <f>'Owner Earnings (100%)'!E6*1.3</f>
        <v>16900</v>
      </c>
      <c r="G6" s="18">
        <f>'Owner Earnings (100%)'!F6*1.3</f>
        <v>33800</v>
      </c>
      <c r="H6" s="18">
        <f>'Owner Earnings (100%)'!G6*1.3</f>
        <v>92300</v>
      </c>
      <c r="I6" s="18">
        <f>'Owner Earnings (100%)'!H6*1.3</f>
        <v>247000</v>
      </c>
    </row>
    <row r="7" ht="30.0" customHeight="1">
      <c r="A7" s="10" t="s">
        <v>70</v>
      </c>
      <c r="B7" s="14" t="s">
        <v>92</v>
      </c>
      <c r="C7" s="10" t="s">
        <v>71</v>
      </c>
      <c r="D7" s="18">
        <f>'Owner Earnings (100%)'!C7*1.3</f>
        <v>7800</v>
      </c>
      <c r="E7" s="18">
        <f>'Owner Earnings (100%)'!D7*1.3</f>
        <v>2600</v>
      </c>
      <c r="F7" s="18">
        <f>'Owner Earnings (100%)'!E7*1.3</f>
        <v>13000</v>
      </c>
      <c r="G7" s="18">
        <f>'Owner Earnings (100%)'!F7*1.3</f>
        <v>26000</v>
      </c>
      <c r="H7" s="18">
        <f>'Owner Earnings (100%)'!G7*1.3</f>
        <v>71500</v>
      </c>
      <c r="I7" s="18">
        <f>'Owner Earnings (100%)'!H7*1.3</f>
        <v>192400</v>
      </c>
    </row>
    <row r="8" ht="38.25" customHeight="1">
      <c r="A8" s="10" t="s">
        <v>73</v>
      </c>
      <c r="B8" s="14" t="s">
        <v>100</v>
      </c>
      <c r="C8" s="10" t="s">
        <v>74</v>
      </c>
      <c r="D8" s="18">
        <f>'Owner Earnings (100%)'!C8*1.3</f>
        <v>7800</v>
      </c>
      <c r="E8" s="18">
        <f>'Owner Earnings (100%)'!D8*1.3</f>
        <v>2600</v>
      </c>
      <c r="F8" s="18">
        <f>'Owner Earnings (100%)'!E8*1.3</f>
        <v>13000</v>
      </c>
      <c r="G8" s="18">
        <f>'Owner Earnings (100%)'!F8*1.3</f>
        <v>26000</v>
      </c>
      <c r="H8" s="18">
        <f>'Owner Earnings (100%)'!G8*1.3</f>
        <v>71500</v>
      </c>
      <c r="I8" s="18">
        <f>'Owner Earnings (100%)'!H8*1.3</f>
        <v>192400</v>
      </c>
    </row>
    <row r="9" ht="35.25" customHeight="1">
      <c r="A9" s="10" t="s">
        <v>78</v>
      </c>
      <c r="B9" s="14" t="s">
        <v>102</v>
      </c>
      <c r="C9" s="10" t="s">
        <v>79</v>
      </c>
      <c r="D9" s="18">
        <f>'Owner Earnings (100%)'!C9*1.3</f>
        <v>7020</v>
      </c>
      <c r="E9" s="18">
        <f>'Owner Earnings (100%)'!D9*1.3</f>
        <v>2340</v>
      </c>
      <c r="F9" s="18">
        <f>'Owner Earnings (100%)'!E9*1.3</f>
        <v>11700</v>
      </c>
      <c r="G9" s="18">
        <f>'Owner Earnings (100%)'!F9*1.3</f>
        <v>23400</v>
      </c>
      <c r="H9" s="18">
        <f>'Owner Earnings (100%)'!G9*1.3</f>
        <v>63700</v>
      </c>
      <c r="I9" s="18">
        <f>'Owner Earnings (100%)'!H9*1.3</f>
        <v>171600</v>
      </c>
    </row>
    <row r="10" ht="32.25" customHeight="1">
      <c r="A10" s="10" t="s">
        <v>80</v>
      </c>
      <c r="B10" s="14" t="s">
        <v>103</v>
      </c>
      <c r="C10" s="10" t="s">
        <v>81</v>
      </c>
      <c r="D10" s="18">
        <f>'Owner Earnings (100%)'!C10*1.3</f>
        <v>6240</v>
      </c>
      <c r="E10" s="18">
        <f>'Owner Earnings (100%)'!D10*1.3</f>
        <v>2080</v>
      </c>
      <c r="F10" s="18">
        <f>'Owner Earnings (100%)'!E10*1.3</f>
        <v>10400</v>
      </c>
      <c r="G10" s="18">
        <f>'Owner Earnings (100%)'!F10*1.3</f>
        <v>20800</v>
      </c>
      <c r="H10" s="18">
        <f>'Owner Earnings (100%)'!G10*1.3</f>
        <v>57200</v>
      </c>
      <c r="I10" s="18">
        <f>'Owner Earnings (100%)'!H10*1.3</f>
        <v>153400</v>
      </c>
    </row>
    <row r="11" ht="34.5" customHeight="1">
      <c r="A11" s="10" t="s">
        <v>83</v>
      </c>
      <c r="B11" s="14" t="s">
        <v>104</v>
      </c>
      <c r="C11" s="10" t="s">
        <v>84</v>
      </c>
      <c r="D11" s="18">
        <f>'Owner Earnings (100%)'!C11*1.3</f>
        <v>5460</v>
      </c>
      <c r="E11" s="18">
        <f>'Owner Earnings (100%)'!D11*1.3</f>
        <v>1820</v>
      </c>
      <c r="F11" s="18">
        <f>'Owner Earnings (100%)'!E11*1.3</f>
        <v>9100</v>
      </c>
      <c r="G11" s="18">
        <f>'Owner Earnings (100%)'!F11*1.3</f>
        <v>18200</v>
      </c>
      <c r="H11" s="18">
        <f>'Owner Earnings (100%)'!G11*1.3</f>
        <v>49400</v>
      </c>
      <c r="I11" s="18">
        <f>'Owner Earnings (100%)'!H11*1.3</f>
        <v>132600</v>
      </c>
    </row>
    <row r="12" ht="39.0" customHeight="1">
      <c r="A12" s="10" t="s">
        <v>85</v>
      </c>
      <c r="B12" s="14" t="s">
        <v>105</v>
      </c>
      <c r="C12" s="10" t="s">
        <v>86</v>
      </c>
      <c r="D12" s="18">
        <f>'Owner Earnings (100%)'!C12*1.3</f>
        <v>4680</v>
      </c>
      <c r="E12" s="18">
        <f>'Owner Earnings (100%)'!D12*1.3</f>
        <v>1560</v>
      </c>
      <c r="F12" s="18">
        <f>'Owner Earnings (100%)'!E12*1.3</f>
        <v>7800</v>
      </c>
      <c r="G12" s="18">
        <f>'Owner Earnings (100%)'!F12*1.3</f>
        <v>15600</v>
      </c>
      <c r="H12" s="18">
        <f>'Owner Earnings (100%)'!G12*1.3</f>
        <v>42900</v>
      </c>
      <c r="I12" s="18">
        <f>'Owner Earnings (100%)'!H12*1.3</f>
        <v>114400</v>
      </c>
    </row>
    <row r="13" ht="34.5" customHeight="1">
      <c r="A13" s="10" t="s">
        <v>87</v>
      </c>
      <c r="B13" s="14" t="s">
        <v>106</v>
      </c>
      <c r="C13" s="10" t="s">
        <v>86</v>
      </c>
      <c r="D13" s="18">
        <f>'Owner Earnings (100%)'!C13*1.3</f>
        <v>4680</v>
      </c>
      <c r="E13" s="18">
        <f>'Owner Earnings (100%)'!D13*1.3</f>
        <v>1560</v>
      </c>
      <c r="F13" s="18">
        <f>'Owner Earnings (100%)'!E13*1.3</f>
        <v>7800</v>
      </c>
      <c r="G13" s="18">
        <f>'Owner Earnings (100%)'!F13*1.3</f>
        <v>15600</v>
      </c>
      <c r="H13" s="18">
        <f>'Owner Earnings (100%)'!G13*1.3</f>
        <v>42900</v>
      </c>
      <c r="I13" s="18">
        <f>'Owner Earnings (100%)'!H13*1.3</f>
        <v>114400</v>
      </c>
    </row>
    <row r="14" ht="36.75" customHeight="1">
      <c r="A14" s="10" t="s">
        <v>88</v>
      </c>
      <c r="B14" s="14" t="s">
        <v>107</v>
      </c>
      <c r="C14" s="10" t="s">
        <v>89</v>
      </c>
      <c r="D14" s="18">
        <f>'Owner Earnings (100%)'!C14*1.3</f>
        <v>3900</v>
      </c>
      <c r="E14" s="18">
        <f>'Owner Earnings (100%)'!D14*1.3</f>
        <v>1300</v>
      </c>
      <c r="F14" s="18">
        <f>'Owner Earnings (100%)'!E14*1.3</f>
        <v>6500</v>
      </c>
      <c r="G14" s="18">
        <f>'Owner Earnings (100%)'!F14*1.3</f>
        <v>13000</v>
      </c>
      <c r="H14" s="18">
        <f>'Owner Earnings (100%)'!G14*1.3</f>
        <v>35100</v>
      </c>
      <c r="I14" s="18">
        <f>'Owner Earnings (100%)'!H14*1.3</f>
        <v>94900</v>
      </c>
    </row>
    <row r="15" ht="27.0" customHeight="1">
      <c r="A15" s="10" t="s">
        <v>90</v>
      </c>
      <c r="B15" s="14" t="s">
        <v>108</v>
      </c>
      <c r="C15" s="10" t="s">
        <v>91</v>
      </c>
      <c r="D15" s="18">
        <f>'Owner Earnings (100%)'!C15*1.3</f>
        <v>3120</v>
      </c>
      <c r="E15" s="18">
        <f>'Owner Earnings (100%)'!D15*1.3</f>
        <v>1040</v>
      </c>
      <c r="F15" s="18">
        <f>'Owner Earnings (100%)'!E15*1.3</f>
        <v>5200</v>
      </c>
      <c r="G15" s="18">
        <f>'Owner Earnings (100%)'!F15*1.3</f>
        <v>10400</v>
      </c>
      <c r="H15" s="18">
        <f>'Owner Earnings (100%)'!G15*1.3</f>
        <v>28600</v>
      </c>
      <c r="I15" s="18">
        <f>'Owner Earnings (100%)'!H15*1.3</f>
        <v>76700</v>
      </c>
    </row>
    <row r="16" ht="34.5" customHeight="1">
      <c r="A16" s="10" t="s">
        <v>93</v>
      </c>
      <c r="B16" s="14" t="s">
        <v>109</v>
      </c>
      <c r="C16" s="10" t="s">
        <v>94</v>
      </c>
      <c r="D16" s="18">
        <f>'Owner Earnings (100%)'!C16*1.3</f>
        <v>3120</v>
      </c>
      <c r="E16" s="18">
        <f>'Owner Earnings (100%)'!D16*1.3</f>
        <v>1040</v>
      </c>
      <c r="F16" s="18">
        <f>'Owner Earnings (100%)'!E16*1.3</f>
        <v>5200</v>
      </c>
      <c r="G16" s="18">
        <f>'Owner Earnings (100%)'!F16*1.3</f>
        <v>10400</v>
      </c>
      <c r="H16" s="18">
        <f>'Owner Earnings (100%)'!G16*1.3</f>
        <v>28600</v>
      </c>
      <c r="I16" s="18">
        <f>'Owner Earnings (100%)'!H16*1.3</f>
        <v>76700</v>
      </c>
    </row>
    <row r="17" ht="41.25" customHeight="1">
      <c r="A17" s="10" t="s">
        <v>95</v>
      </c>
      <c r="B17" s="14" t="s">
        <v>110</v>
      </c>
      <c r="C17" s="10" t="s">
        <v>96</v>
      </c>
      <c r="D17" s="18">
        <f>'Owner Earnings (100%)'!C17*1.3</f>
        <v>2730</v>
      </c>
      <c r="E17" s="18">
        <f>'Owner Earnings (100%)'!D17*1.3</f>
        <v>910</v>
      </c>
      <c r="F17" s="18">
        <f>'Owner Earnings (100%)'!E17*1.3</f>
        <v>4550</v>
      </c>
      <c r="G17" s="18">
        <f>'Owner Earnings (100%)'!F17*1.3</f>
        <v>9100</v>
      </c>
      <c r="H17" s="18">
        <f>'Owner Earnings (100%)'!G17*1.3</f>
        <v>24700</v>
      </c>
      <c r="I17" s="18">
        <f>'Owner Earnings (100%)'!H17*1.3</f>
        <v>66300</v>
      </c>
    </row>
    <row r="18" ht="36.0" customHeight="1">
      <c r="A18" s="10" t="s">
        <v>97</v>
      </c>
      <c r="B18" s="14" t="s">
        <v>111</v>
      </c>
      <c r="C18" s="10" t="s">
        <v>98</v>
      </c>
      <c r="D18" s="18">
        <f>'Owner Earnings (100%)'!C18*1.3</f>
        <v>1950</v>
      </c>
      <c r="E18" s="18">
        <f>'Owner Earnings (100%)'!D18*1.3</f>
        <v>650</v>
      </c>
      <c r="F18" s="18">
        <f>'Owner Earnings (100%)'!E18*1.3</f>
        <v>3250</v>
      </c>
      <c r="G18" s="18">
        <f>'Owner Earnings (100%)'!F18*1.3</f>
        <v>6500</v>
      </c>
      <c r="H18" s="18">
        <f>'Owner Earnings (100%)'!G18*1.3</f>
        <v>18200</v>
      </c>
      <c r="I18" s="18">
        <f>'Owner Earnings (100%)'!H18*1.3</f>
        <v>48100</v>
      </c>
    </row>
    <row r="19" ht="36.75" customHeight="1">
      <c r="A19" s="10" t="s">
        <v>99</v>
      </c>
      <c r="B19" s="14" t="s">
        <v>112</v>
      </c>
      <c r="C19" s="10" t="s">
        <v>101</v>
      </c>
      <c r="D19" s="18">
        <f>'Owner Earnings (100%)'!C19*1.3</f>
        <v>1560</v>
      </c>
      <c r="E19" s="18">
        <f>'Owner Earnings (100%)'!D19*1.3</f>
        <v>520</v>
      </c>
      <c r="F19" s="18">
        <f>'Owner Earnings (100%)'!E19*1.3</f>
        <v>2600</v>
      </c>
      <c r="G19" s="18">
        <f>'Owner Earnings (100%)'!F19*1.3</f>
        <v>5200</v>
      </c>
      <c r="H19" s="18">
        <f>'Owner Earnings (100%)'!G19*1.3</f>
        <v>14300</v>
      </c>
      <c r="I19" s="18">
        <f>'Owner Earnings (100%)'!H19*1.3</f>
        <v>37700</v>
      </c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0.0"/>
    <col customWidth="1" min="3" max="3" width="18.0"/>
    <col customWidth="1" min="4" max="4" width="18.29"/>
    <col customWidth="1" min="5" max="5" width="17.43"/>
    <col customWidth="1" min="6" max="6" width="15.0"/>
    <col customWidth="1" min="7" max="7" width="22.0"/>
    <col customWidth="1" min="8" max="8" width="19.14"/>
    <col customWidth="1" min="9" max="9" width="17.86"/>
    <col customWidth="1" min="10" max="26" width="8.71"/>
  </cols>
  <sheetData>
    <row r="1" ht="18.0" customHeight="1">
      <c r="A1" s="1" t="s">
        <v>3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6</v>
      </c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 ht="30.75" customHeight="1">
      <c r="A4" s="8" t="s">
        <v>11</v>
      </c>
      <c r="B4" s="8" t="s">
        <v>19</v>
      </c>
      <c r="C4" s="8" t="s">
        <v>22</v>
      </c>
      <c r="D4" s="8" t="s">
        <v>24</v>
      </c>
      <c r="E4" s="8" t="s">
        <v>28</v>
      </c>
      <c r="F4" s="8" t="s">
        <v>30</v>
      </c>
      <c r="G4" s="8" t="s">
        <v>32</v>
      </c>
      <c r="H4" s="8" t="s">
        <v>33</v>
      </c>
      <c r="I4" s="8" t="s">
        <v>34</v>
      </c>
    </row>
    <row r="5" ht="15.0" customHeight="1">
      <c r="A5" s="11" t="s">
        <v>35</v>
      </c>
      <c r="B5" s="11" t="s">
        <v>39</v>
      </c>
      <c r="C5" s="11" t="s">
        <v>40</v>
      </c>
      <c r="D5" s="13">
        <v>38000.0</v>
      </c>
      <c r="E5" s="13">
        <v>102000.0</v>
      </c>
      <c r="F5" s="13">
        <v>275000.0</v>
      </c>
      <c r="G5" s="15">
        <f t="shared" ref="G5:I5" si="1">D5*1.3</f>
        <v>49400</v>
      </c>
      <c r="H5" s="15">
        <f t="shared" si="1"/>
        <v>132600</v>
      </c>
      <c r="I5" s="15">
        <f t="shared" si="1"/>
        <v>357500</v>
      </c>
    </row>
    <row r="6" ht="15.0" customHeight="1">
      <c r="A6" s="17" t="s">
        <v>61</v>
      </c>
      <c r="B6" s="17" t="s">
        <v>65</v>
      </c>
      <c r="C6" s="17" t="s">
        <v>66</v>
      </c>
      <c r="D6" s="19">
        <v>45000.0</v>
      </c>
      <c r="E6" s="19">
        <v>123000.0</v>
      </c>
      <c r="F6" s="19">
        <v>330000.0</v>
      </c>
      <c r="G6" s="20">
        <f t="shared" ref="G6:I6" si="2">D6*1.3</f>
        <v>58500</v>
      </c>
      <c r="H6" s="20">
        <f t="shared" si="2"/>
        <v>159900</v>
      </c>
      <c r="I6" s="20">
        <f t="shared" si="2"/>
        <v>429000</v>
      </c>
    </row>
    <row r="7" ht="15.0" customHeight="1">
      <c r="A7" s="11" t="s">
        <v>67</v>
      </c>
      <c r="B7" s="11" t="s">
        <v>68</v>
      </c>
      <c r="C7" s="11" t="s">
        <v>69</v>
      </c>
      <c r="D7" s="13">
        <v>17000.0</v>
      </c>
      <c r="E7" s="13">
        <v>45000.0</v>
      </c>
      <c r="F7" s="13">
        <v>121000.0</v>
      </c>
      <c r="G7" s="15">
        <f t="shared" ref="G7:I7" si="3">D7*1.3</f>
        <v>22100</v>
      </c>
      <c r="H7" s="15">
        <f t="shared" si="3"/>
        <v>58500</v>
      </c>
      <c r="I7" s="15">
        <f t="shared" si="3"/>
        <v>157300</v>
      </c>
    </row>
    <row r="8" ht="15.0" customHeight="1">
      <c r="A8" s="17" t="s">
        <v>72</v>
      </c>
      <c r="B8" s="17" t="s">
        <v>75</v>
      </c>
      <c r="C8" s="17" t="s">
        <v>76</v>
      </c>
      <c r="D8" s="19">
        <v>120000.0</v>
      </c>
      <c r="E8" s="19">
        <v>328000.0</v>
      </c>
      <c r="F8" s="19">
        <v>880000.0</v>
      </c>
      <c r="G8" s="20">
        <f t="shared" ref="G8:I8" si="4">D8*1.3</f>
        <v>156000</v>
      </c>
      <c r="H8" s="20">
        <f t="shared" si="4"/>
        <v>426400</v>
      </c>
      <c r="I8" s="20">
        <f t="shared" si="4"/>
        <v>1144000</v>
      </c>
    </row>
    <row r="9">
      <c r="A9" s="2"/>
      <c r="B9" s="2"/>
      <c r="C9" s="2"/>
      <c r="D9" s="2"/>
      <c r="E9" s="2"/>
      <c r="F9" s="2"/>
      <c r="G9" s="2"/>
      <c r="H9" s="2"/>
      <c r="I9" s="2"/>
    </row>
    <row r="10" ht="15.0" customHeight="1">
      <c r="A10" s="3" t="s">
        <v>82</v>
      </c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6.0"/>
    <col customWidth="1" min="3" max="8" width="12.0"/>
    <col customWidth="1" min="9" max="26" width="8.71"/>
  </cols>
  <sheetData>
    <row r="1" ht="18.0" customHeight="1">
      <c r="A1" s="1" t="s">
        <v>1</v>
      </c>
      <c r="B1" s="2"/>
      <c r="C1" s="2"/>
      <c r="D1" s="2"/>
      <c r="E1" s="2"/>
      <c r="F1" s="2"/>
      <c r="G1" s="2"/>
      <c r="H1" s="2"/>
    </row>
    <row r="2" ht="15.0" customHeight="1">
      <c r="A2" s="3" t="s">
        <v>9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 ht="15.0" customHeight="1">
      <c r="A4" s="8" t="s">
        <v>7</v>
      </c>
      <c r="B4" s="8" t="s">
        <v>12</v>
      </c>
      <c r="C4" s="8" t="s">
        <v>20</v>
      </c>
      <c r="D4" s="8" t="s">
        <v>23</v>
      </c>
      <c r="E4" s="8" t="s">
        <v>25</v>
      </c>
      <c r="F4" s="8" t="s">
        <v>27</v>
      </c>
      <c r="G4" s="8" t="s">
        <v>29</v>
      </c>
      <c r="H4" s="8" t="s">
        <v>31</v>
      </c>
    </row>
    <row r="5" ht="15.0" customHeight="1">
      <c r="A5" s="11" t="s">
        <v>26</v>
      </c>
      <c r="B5" s="11" t="s">
        <v>38</v>
      </c>
      <c r="C5" s="15">
        <v>9000.0</v>
      </c>
      <c r="D5" s="15">
        <v>3000.0</v>
      </c>
      <c r="E5" s="15">
        <v>15000.0</v>
      </c>
      <c r="F5" s="15">
        <v>30000.0</v>
      </c>
      <c r="G5" s="15">
        <v>82000.0</v>
      </c>
      <c r="H5" s="15">
        <v>220000.0</v>
      </c>
    </row>
    <row r="6" ht="15.0" customHeight="1">
      <c r="A6" s="17" t="s">
        <v>59</v>
      </c>
      <c r="B6" s="17" t="s">
        <v>64</v>
      </c>
      <c r="C6" s="20">
        <v>7800.0</v>
      </c>
      <c r="D6" s="20">
        <v>2600.0</v>
      </c>
      <c r="E6" s="20">
        <v>13000.0</v>
      </c>
      <c r="F6" s="20">
        <v>26000.0</v>
      </c>
      <c r="G6" s="20">
        <v>71000.0</v>
      </c>
      <c r="H6" s="20">
        <v>190000.0</v>
      </c>
    </row>
    <row r="7" ht="15.0" customHeight="1">
      <c r="A7" s="11" t="s">
        <v>70</v>
      </c>
      <c r="B7" s="11" t="s">
        <v>71</v>
      </c>
      <c r="C7" s="15">
        <v>6000.0</v>
      </c>
      <c r="D7" s="15">
        <v>2000.0</v>
      </c>
      <c r="E7" s="15">
        <v>10000.0</v>
      </c>
      <c r="F7" s="15">
        <v>20000.0</v>
      </c>
      <c r="G7" s="15">
        <v>55000.0</v>
      </c>
      <c r="H7" s="15">
        <v>148000.0</v>
      </c>
    </row>
    <row r="8" ht="15.0" customHeight="1">
      <c r="A8" s="17" t="s">
        <v>73</v>
      </c>
      <c r="B8" s="17" t="s">
        <v>74</v>
      </c>
      <c r="C8" s="20">
        <v>6000.0</v>
      </c>
      <c r="D8" s="20">
        <v>2000.0</v>
      </c>
      <c r="E8" s="20">
        <v>10000.0</v>
      </c>
      <c r="F8" s="20">
        <v>20000.0</v>
      </c>
      <c r="G8" s="20">
        <v>55000.0</v>
      </c>
      <c r="H8" s="20">
        <v>148000.0</v>
      </c>
    </row>
    <row r="9" ht="15.0" customHeight="1">
      <c r="A9" s="11" t="s">
        <v>78</v>
      </c>
      <c r="B9" s="11" t="s">
        <v>79</v>
      </c>
      <c r="C9" s="15">
        <v>5400.0</v>
      </c>
      <c r="D9" s="15">
        <v>1800.0</v>
      </c>
      <c r="E9" s="15">
        <v>9000.0</v>
      </c>
      <c r="F9" s="15">
        <v>18000.0</v>
      </c>
      <c r="G9" s="15">
        <v>49000.0</v>
      </c>
      <c r="H9" s="15">
        <v>132000.0</v>
      </c>
    </row>
    <row r="10" ht="15.0" customHeight="1">
      <c r="A10" s="17" t="s">
        <v>80</v>
      </c>
      <c r="B10" s="17" t="s">
        <v>81</v>
      </c>
      <c r="C10" s="20">
        <v>4800.0</v>
      </c>
      <c r="D10" s="20">
        <v>1600.0</v>
      </c>
      <c r="E10" s="20">
        <v>8000.0</v>
      </c>
      <c r="F10" s="20">
        <v>16000.0</v>
      </c>
      <c r="G10" s="20">
        <v>44000.0</v>
      </c>
      <c r="H10" s="20">
        <v>118000.0</v>
      </c>
    </row>
    <row r="11" ht="15.0" customHeight="1">
      <c r="A11" s="11" t="s">
        <v>83</v>
      </c>
      <c r="B11" s="11" t="s">
        <v>84</v>
      </c>
      <c r="C11" s="15">
        <v>4200.0</v>
      </c>
      <c r="D11" s="15">
        <v>1400.0</v>
      </c>
      <c r="E11" s="15">
        <v>7000.0</v>
      </c>
      <c r="F11" s="15">
        <v>14000.0</v>
      </c>
      <c r="G11" s="15">
        <v>38000.0</v>
      </c>
      <c r="H11" s="15">
        <v>102000.0</v>
      </c>
    </row>
    <row r="12" ht="15.0" customHeight="1">
      <c r="A12" s="17" t="s">
        <v>85</v>
      </c>
      <c r="B12" s="17" t="s">
        <v>86</v>
      </c>
      <c r="C12" s="20">
        <v>3600.0</v>
      </c>
      <c r="D12" s="20">
        <v>1200.0</v>
      </c>
      <c r="E12" s="20">
        <v>6000.0</v>
      </c>
      <c r="F12" s="20">
        <v>12000.0</v>
      </c>
      <c r="G12" s="20">
        <v>33000.0</v>
      </c>
      <c r="H12" s="20">
        <v>88000.0</v>
      </c>
    </row>
    <row r="13" ht="15.0" customHeight="1">
      <c r="A13" s="11" t="s">
        <v>87</v>
      </c>
      <c r="B13" s="11" t="s">
        <v>86</v>
      </c>
      <c r="C13" s="15">
        <v>3600.0</v>
      </c>
      <c r="D13" s="15">
        <v>1200.0</v>
      </c>
      <c r="E13" s="15">
        <v>6000.0</v>
      </c>
      <c r="F13" s="15">
        <v>12000.0</v>
      </c>
      <c r="G13" s="15">
        <v>33000.0</v>
      </c>
      <c r="H13" s="15">
        <v>88000.0</v>
      </c>
    </row>
    <row r="14" ht="15.0" customHeight="1">
      <c r="A14" s="17" t="s">
        <v>88</v>
      </c>
      <c r="B14" s="17" t="s">
        <v>89</v>
      </c>
      <c r="C14" s="20">
        <v>3000.0</v>
      </c>
      <c r="D14" s="20">
        <v>1000.0</v>
      </c>
      <c r="E14" s="20">
        <v>5000.0</v>
      </c>
      <c r="F14" s="20">
        <v>10000.0</v>
      </c>
      <c r="G14" s="20">
        <v>27000.0</v>
      </c>
      <c r="H14" s="20">
        <v>73000.0</v>
      </c>
    </row>
    <row r="15" ht="15.0" customHeight="1">
      <c r="A15" s="11" t="s">
        <v>90</v>
      </c>
      <c r="B15" s="11" t="s">
        <v>91</v>
      </c>
      <c r="C15" s="15">
        <v>2400.0</v>
      </c>
      <c r="D15" s="15">
        <v>800.0</v>
      </c>
      <c r="E15" s="15">
        <v>4000.0</v>
      </c>
      <c r="F15" s="15">
        <v>8000.0</v>
      </c>
      <c r="G15" s="15">
        <v>22000.0</v>
      </c>
      <c r="H15" s="15">
        <v>59000.0</v>
      </c>
    </row>
    <row r="16" ht="15.0" customHeight="1">
      <c r="A16" s="17" t="s">
        <v>93</v>
      </c>
      <c r="B16" s="17" t="s">
        <v>94</v>
      </c>
      <c r="C16" s="20">
        <v>2400.0</v>
      </c>
      <c r="D16" s="20">
        <v>800.0</v>
      </c>
      <c r="E16" s="20">
        <v>4000.0</v>
      </c>
      <c r="F16" s="20">
        <v>8000.0</v>
      </c>
      <c r="G16" s="20">
        <v>22000.0</v>
      </c>
      <c r="H16" s="20">
        <v>59000.0</v>
      </c>
    </row>
    <row r="17" ht="15.0" customHeight="1">
      <c r="A17" s="11" t="s">
        <v>95</v>
      </c>
      <c r="B17" s="11" t="s">
        <v>96</v>
      </c>
      <c r="C17" s="15">
        <v>2100.0</v>
      </c>
      <c r="D17" s="15">
        <v>700.0</v>
      </c>
      <c r="E17" s="15">
        <v>3500.0</v>
      </c>
      <c r="F17" s="15">
        <v>7000.0</v>
      </c>
      <c r="G17" s="15">
        <v>19000.0</v>
      </c>
      <c r="H17" s="15">
        <v>51000.0</v>
      </c>
    </row>
    <row r="18" ht="15.0" customHeight="1">
      <c r="A18" s="17" t="s">
        <v>97</v>
      </c>
      <c r="B18" s="17" t="s">
        <v>98</v>
      </c>
      <c r="C18" s="20">
        <v>1500.0</v>
      </c>
      <c r="D18" s="20">
        <v>500.0</v>
      </c>
      <c r="E18" s="20">
        <v>2500.0</v>
      </c>
      <c r="F18" s="20">
        <v>5000.0</v>
      </c>
      <c r="G18" s="20">
        <v>14000.0</v>
      </c>
      <c r="H18" s="20">
        <v>37000.0</v>
      </c>
    </row>
    <row r="19" ht="15.0" customHeight="1">
      <c r="A19" s="11" t="s">
        <v>99</v>
      </c>
      <c r="B19" s="11" t="s">
        <v>101</v>
      </c>
      <c r="C19" s="15">
        <v>1200.0</v>
      </c>
      <c r="D19" s="15">
        <v>400.0</v>
      </c>
      <c r="E19" s="15">
        <v>2000.0</v>
      </c>
      <c r="F19" s="15">
        <v>4000.0</v>
      </c>
      <c r="G19" s="15">
        <v>11000.0</v>
      </c>
      <c r="H19" s="15">
        <v>29000.0</v>
      </c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paperSize="9" orientation="portrait"/>
  <drawing r:id="rId1"/>
</worksheet>
</file>